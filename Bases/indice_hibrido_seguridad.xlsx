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cp365-my.sharepoint.com/personal/jose_mera_hacienda_gob_mx/Documents/Maestria/Microeconometría/DataChallenge/"/>
    </mc:Choice>
  </mc:AlternateContent>
  <xr:revisionPtr revIDLastSave="22" documentId="8_{B9F35869-ACEF-4C04-B9EE-481465962C50}" xr6:coauthVersionLast="47" xr6:coauthVersionMax="47" xr10:uidLastSave="{9EB95C64-739D-459B-B12C-0D20615712E8}"/>
  <bookViews>
    <workbookView xWindow="-120" yWindow="-120" windowWidth="29040" windowHeight="15840" activeTab="1" xr2:uid="{00000000-000D-0000-FFFF-FFFF00000000}"/>
  </bookViews>
  <sheets>
    <sheet name="Sheet1" sheetId="1" r:id="rId1"/>
    <sheet name="Data" sheetId="3" r:id="rId2"/>
    <sheet name="Hoja1" sheetId="2" r:id="rId3"/>
    <sheet name="Prec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D2" i="1" a="1"/>
  <c r="AD2" i="1" s="1"/>
  <c r="AG2" i="1" s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5" i="1"/>
  <c r="AH15" i="1"/>
  <c r="AG16" i="1"/>
  <c r="AH16" i="1"/>
  <c r="AG17" i="1"/>
  <c r="AH17" i="1"/>
  <c r="AH2" i="1"/>
  <c r="AD3" i="1" a="1"/>
  <c r="AD3" i="1" s="1"/>
  <c r="AE3" i="1"/>
  <c r="AD4" i="1" a="1"/>
  <c r="AD4" i="1" s="1"/>
  <c r="AE4" i="1"/>
  <c r="AD5" i="1" a="1"/>
  <c r="AD5" i="1"/>
  <c r="AE5" i="1"/>
  <c r="AD6" i="1" a="1"/>
  <c r="AD6" i="1"/>
  <c r="AE6" i="1"/>
  <c r="AD7" i="1" a="1"/>
  <c r="AD7" i="1" s="1"/>
  <c r="AE7" i="1"/>
  <c r="AD8" i="1" a="1"/>
  <c r="AD8" i="1" s="1"/>
  <c r="AE8" i="1"/>
  <c r="AD9" i="1" a="1"/>
  <c r="AD9" i="1"/>
  <c r="AE9" i="1"/>
  <c r="AD10" i="1" a="1"/>
  <c r="AD10" i="1"/>
  <c r="AE10" i="1"/>
  <c r="AD11" i="1" a="1"/>
  <c r="AD11" i="1" s="1"/>
  <c r="AE11" i="1"/>
  <c r="AD12" i="1" a="1"/>
  <c r="AD12" i="1" s="1"/>
  <c r="AE12" i="1"/>
  <c r="AD13" i="1" a="1"/>
  <c r="AD13" i="1"/>
  <c r="AE13" i="1"/>
  <c r="AD14" i="1" a="1"/>
  <c r="AD14" i="1"/>
  <c r="AE14" i="1"/>
  <c r="AD15" i="1" a="1"/>
  <c r="AD15" i="1" s="1"/>
  <c r="AE15" i="1"/>
  <c r="AD16" i="1" a="1"/>
  <c r="AD16" i="1" s="1"/>
  <c r="AE16" i="1"/>
  <c r="AD17" i="1" a="1"/>
  <c r="AD17" i="1"/>
  <c r="AE17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2" i="1"/>
  <c r="AA3" i="1" a="1"/>
  <c r="AA3" i="1" s="1"/>
  <c r="AA4" i="1" a="1"/>
  <c r="AA4" i="1"/>
  <c r="AA5" i="1" a="1"/>
  <c r="AA5" i="1" s="1"/>
  <c r="AA6" i="1" a="1"/>
  <c r="AA6" i="1"/>
  <c r="AA7" i="1" a="1"/>
  <c r="AA7" i="1" s="1"/>
  <c r="AA8" i="1" a="1"/>
  <c r="AA8" i="1"/>
  <c r="AA9" i="1" a="1"/>
  <c r="AA9" i="1" s="1"/>
  <c r="AA10" i="1" a="1"/>
  <c r="AA10" i="1"/>
  <c r="AA11" i="1" a="1"/>
  <c r="AA11" i="1" s="1"/>
  <c r="AA12" i="1" a="1"/>
  <c r="AA12" i="1"/>
  <c r="AA13" i="1" a="1"/>
  <c r="AA13" i="1" s="1"/>
  <c r="AA14" i="1" a="1"/>
  <c r="AA14" i="1"/>
  <c r="AA15" i="1" a="1"/>
  <c r="AA15" i="1" s="1"/>
  <c r="AA16" i="1" a="1"/>
  <c r="AA16" i="1"/>
  <c r="AA17" i="1" a="1"/>
  <c r="AA17" i="1" s="1"/>
  <c r="AA2" i="1" a="1"/>
  <c r="AA2" i="1" s="1"/>
  <c r="X3" i="1" a="1"/>
  <c r="X3" i="1"/>
  <c r="X4" i="1" a="1"/>
  <c r="X4" i="1" s="1"/>
  <c r="X5" i="1" a="1"/>
  <c r="X5" i="1"/>
  <c r="X6" i="1" a="1"/>
  <c r="X6" i="1" s="1"/>
  <c r="X7" i="1" a="1"/>
  <c r="X7" i="1"/>
  <c r="X8" i="1" a="1"/>
  <c r="X8" i="1" s="1"/>
  <c r="X9" i="1" a="1"/>
  <c r="X9" i="1"/>
  <c r="X10" i="1" a="1"/>
  <c r="X10" i="1" s="1"/>
  <c r="X11" i="1" a="1"/>
  <c r="X11" i="1"/>
  <c r="X12" i="1" a="1"/>
  <c r="X12" i="1" s="1"/>
  <c r="X13" i="1" a="1"/>
  <c r="X13" i="1"/>
  <c r="X14" i="1" a="1"/>
  <c r="X14" i="1" s="1"/>
  <c r="X15" i="1" a="1"/>
  <c r="X15" i="1"/>
  <c r="X16" i="1" a="1"/>
  <c r="X16" i="1" s="1"/>
  <c r="X17" i="1" a="1"/>
  <c r="X1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2" i="1"/>
  <c r="L20" i="1"/>
  <c r="S23" i="1"/>
  <c r="X2" i="1" a="1"/>
  <c r="X2" i="1" s="1"/>
  <c r="S20" i="1"/>
  <c r="P2" i="1"/>
  <c r="G22" i="2"/>
  <c r="G21" i="2"/>
  <c r="G24" i="2"/>
  <c r="H21" i="2"/>
  <c r="O13" i="1"/>
  <c r="P13" i="1" s="1"/>
  <c r="P3" i="1"/>
  <c r="P4" i="1"/>
  <c r="P5" i="1"/>
  <c r="P6" i="1"/>
  <c r="P7" i="1"/>
  <c r="P8" i="1"/>
  <c r="P9" i="1"/>
  <c r="P10" i="1"/>
  <c r="P11" i="1"/>
  <c r="P12" i="1"/>
  <c r="P14" i="1"/>
  <c r="P15" i="1"/>
  <c r="P16" i="1"/>
  <c r="P17" i="1"/>
  <c r="O3" i="1"/>
  <c r="O4" i="1"/>
  <c r="O5" i="1"/>
  <c r="O6" i="1"/>
  <c r="O7" i="1"/>
  <c r="O8" i="1"/>
  <c r="O9" i="1"/>
  <c r="O10" i="1"/>
  <c r="O11" i="1"/>
  <c r="O12" i="1"/>
  <c r="O14" i="1"/>
  <c r="O15" i="1"/>
  <c r="O16" i="1"/>
  <c r="O17" i="1"/>
  <c r="O2" i="1"/>
  <c r="M2" i="1"/>
  <c r="Q9" i="1"/>
  <c r="Q10" i="1"/>
  <c r="Q17" i="1"/>
  <c r="Q2" i="1"/>
  <c r="Q19" i="1"/>
  <c r="Q6" i="1" s="1"/>
  <c r="Q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2" l="1"/>
  <c r="Q14" i="1"/>
  <c r="Q3" i="1"/>
  <c r="Q13" i="1"/>
  <c r="Q5" i="1"/>
  <c r="Q16" i="1"/>
  <c r="Q12" i="1"/>
  <c r="Q8" i="1"/>
  <c r="Q4" i="1"/>
  <c r="Q15" i="1"/>
  <c r="Q11" i="1"/>
  <c r="Q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<sst xmlns="http://schemas.openxmlformats.org/spreadsheetml/2006/main" count="132" uniqueCount="41">
  <si>
    <t>alcaldia</t>
  </si>
  <si>
    <t>ene_total</t>
  </si>
  <si>
    <t>feb_total</t>
  </si>
  <si>
    <t>mar_total</t>
  </si>
  <si>
    <t>abr_total</t>
  </si>
  <si>
    <t>may_total</t>
  </si>
  <si>
    <t>jun_total</t>
  </si>
  <si>
    <t>jul_total</t>
  </si>
  <si>
    <t>ago_total</t>
  </si>
  <si>
    <t>sep_total</t>
  </si>
  <si>
    <t>poblacion_2020</t>
  </si>
  <si>
    <t>delitos_totales_enero_sep</t>
  </si>
  <si>
    <t>tasa_per_capita</t>
  </si>
  <si>
    <t>delitos_norm</t>
  </si>
  <si>
    <t>tasa_norm</t>
  </si>
  <si>
    <t>indice_hibrido</t>
  </si>
  <si>
    <t>ranking_hibrido</t>
  </si>
  <si>
    <t>Álvaro Obregón</t>
  </si>
  <si>
    <t>Azcapotzalco</t>
  </si>
  <si>
    <t>Benito Juárez</t>
  </si>
  <si>
    <t>Coyoacán</t>
  </si>
  <si>
    <t>Cuajimalpa</t>
  </si>
  <si>
    <t>Cuauhtémoc</t>
  </si>
  <si>
    <t>Gustavo A. Madero</t>
  </si>
  <si>
    <t>Iztacalco</t>
  </si>
  <si>
    <t>Iztapalapa</t>
  </si>
  <si>
    <t>Magdalena Contreras</t>
  </si>
  <si>
    <t>Miguel Hidalgo</t>
  </si>
  <si>
    <t>Milpa Alta</t>
  </si>
  <si>
    <t>Tláhuac</t>
  </si>
  <si>
    <t>Tlalpan</t>
  </si>
  <si>
    <t>Venustiano Carranza</t>
  </si>
  <si>
    <t>Xochimilco</t>
  </si>
  <si>
    <t>maxmin</t>
  </si>
  <si>
    <t>z score</t>
  </si>
  <si>
    <t>neighbourhood</t>
  </si>
  <si>
    <t>Indice_mixto_D</t>
  </si>
  <si>
    <t>Indice_mixto_M</t>
  </si>
  <si>
    <t>La Magdalena Contreras</t>
  </si>
  <si>
    <t>Cuajimalpa de Morelos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</si>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</sst>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AH2" sqref="AH2:AH17"/>
    </sheetView>
  </sheetViews>
  <sheetFormatPr baseColWidth="10" defaultColWidth="9.140625" defaultRowHeight="15" x14ac:dyDescent="0.25"/>
  <cols>
    <col min="2" max="2" width="9.5703125" bestFit="1" customWidth="1"/>
    <col min="4" max="4" width="9.5703125" bestFit="1" customWidth="1"/>
    <col min="5" max="5" width="9" bestFit="1" customWidth="1"/>
    <col min="6" max="6" width="9.85546875" bestFit="1" customWidth="1"/>
    <col min="7" max="7" width="9" bestFit="1" customWidth="1"/>
    <col min="8" max="8" width="8.42578125" bestFit="1" customWidth="1"/>
    <col min="9" max="10" width="9.28515625" bestFit="1" customWidth="1"/>
    <col min="11" max="11" width="14.7109375" customWidth="1"/>
    <col min="12" max="12" width="25" bestFit="1" customWidth="1"/>
    <col min="13" max="16" width="25" hidden="1" customWidth="1"/>
    <col min="17" max="17" width="11" hidden="1" customWidth="1"/>
    <col min="18" max="18" width="14.85546875" bestFit="1" customWidth="1"/>
    <col min="19" max="19" width="12.85546875" bestFit="1" customWidth="1"/>
    <col min="20" max="20" width="12" bestFit="1" customWidth="1"/>
    <col min="21" max="21" width="13.85546875" bestFit="1" customWidth="1"/>
    <col min="22" max="22" width="1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 t="s">
        <v>33</v>
      </c>
      <c r="O1" s="2"/>
      <c r="P1" s="2"/>
      <c r="Q1" s="1" t="s">
        <v>34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42" x14ac:dyDescent="0.25">
      <c r="A2" t="s">
        <v>17</v>
      </c>
      <c r="B2">
        <v>1031</v>
      </c>
      <c r="C2">
        <v>1064</v>
      </c>
      <c r="D2">
        <v>1166</v>
      </c>
      <c r="E2">
        <v>1116</v>
      </c>
      <c r="F2">
        <v>1237</v>
      </c>
      <c r="G2">
        <v>1113</v>
      </c>
      <c r="H2">
        <v>1145</v>
      </c>
      <c r="I2">
        <v>1182</v>
      </c>
      <c r="J2">
        <v>1120</v>
      </c>
      <c r="K2">
        <v>759137</v>
      </c>
      <c r="L2">
        <v>10174</v>
      </c>
      <c r="M2" s="4">
        <f>L2/K2</f>
        <v>1.3402060497644036E-2</v>
      </c>
      <c r="N2" s="4">
        <f>(L2-MIN($L$2:$L$17))/(MAX($L$2:$L$17)-MIN($L$2:$L$17))</f>
        <v>0.37556134363211785</v>
      </c>
      <c r="O2" s="4">
        <f>(K2-MIN($K$2:$K$17))/(MAX($K$2:$K$17)-MIN($K$2:$K$17))</f>
        <v>0.36867471716882594</v>
      </c>
      <c r="P2" s="4">
        <f>N2*0.7+O2*0.3</f>
        <v>0.37349535569313025</v>
      </c>
      <c r="Q2">
        <f t="shared" ref="Q2:Q17" si="0">(L2-$Q$19)/$Q$21</f>
        <v>0.11457133441898058</v>
      </c>
      <c r="R2" s="3">
        <v>1.3402060497644039E-2</v>
      </c>
      <c r="S2">
        <v>0.4225258524025084</v>
      </c>
      <c r="T2">
        <v>0.30383198607483353</v>
      </c>
      <c r="U2">
        <v>0.38691769250420588</v>
      </c>
      <c r="V2">
        <v>7</v>
      </c>
      <c r="X2" cm="1">
        <f t="array" ref="X2">(L2-MIN($L$2:$L$17))/(MAX($L$2:$L$17-MIN(L2:L17)))</f>
        <v>0.37556134363211785</v>
      </c>
      <c r="Y2">
        <f>L2/MAX($L$2:$L$17)</f>
        <v>0.4225258524025084</v>
      </c>
      <c r="AA2" cm="1">
        <f t="array" ref="AA2">(K2-MIN($K$2:$K$17))/(MAX($K$2:$K$17-MIN($K$2:$K$17)))</f>
        <v>0.36867471716882594</v>
      </c>
      <c r="AB2">
        <f>K2/MAX($K$2:$K$17)</f>
        <v>0.41358909847310193</v>
      </c>
      <c r="AD2" cm="1">
        <f t="array" ref="AD2">(R2-MIN($R$2:$R$17))/(MAX($R$2:$R$17-MIN($R$2:$R$17)))</f>
        <v>6.6083357738280654E-2</v>
      </c>
      <c r="AE2">
        <f>R2/MAX($R$2:$R$17)</f>
        <v>0.30383198607483358</v>
      </c>
      <c r="AG2" s="4">
        <f>X2*0.7+AD2*0.3</f>
        <v>0.28271794786396665</v>
      </c>
      <c r="AH2" s="4">
        <f>Y2*0.7+AE2*0.3</f>
        <v>0.38691769250420593</v>
      </c>
      <c r="AL2" t="s">
        <v>22</v>
      </c>
      <c r="AM2">
        <v>1</v>
      </c>
      <c r="AO2" t="s">
        <v>22</v>
      </c>
      <c r="AP2">
        <v>1</v>
      </c>
    </row>
    <row r="3" spans="1:42" x14ac:dyDescent="0.25">
      <c r="A3" t="s">
        <v>18</v>
      </c>
      <c r="B3">
        <v>687</v>
      </c>
      <c r="C3">
        <v>660</v>
      </c>
      <c r="D3">
        <v>720</v>
      </c>
      <c r="E3">
        <v>704</v>
      </c>
      <c r="F3">
        <v>745</v>
      </c>
      <c r="G3">
        <v>672</v>
      </c>
      <c r="H3">
        <v>728</v>
      </c>
      <c r="I3">
        <v>733</v>
      </c>
      <c r="J3">
        <v>708</v>
      </c>
      <c r="K3">
        <v>432205</v>
      </c>
      <c r="L3">
        <v>6357</v>
      </c>
      <c r="M3" s="4">
        <f t="shared" ref="M3:M17" si="1">L3/K3</f>
        <v>1.4708298145555928E-2</v>
      </c>
      <c r="N3" s="4">
        <f t="shared" ref="N3:N17" si="2">(L3-MIN($L$2:$L$17))/(MAX($L$2:$L$17)-MIN($L$2:$L$17))</f>
        <v>0.20414945212861504</v>
      </c>
      <c r="O3" s="4">
        <f t="shared" ref="O3:O17" si="3">(K3-MIN($K$2:$K$17))/(MAX($K$2:$K$17)-MIN($K$2:$K$17))</f>
        <v>0.17691494653071374</v>
      </c>
      <c r="P3" s="4">
        <f t="shared" ref="P3:P17" si="4">N3*0.7+O3*0.3</f>
        <v>0.19597910044924466</v>
      </c>
      <c r="Q3">
        <f t="shared" si="0"/>
        <v>-0.50431249148195545</v>
      </c>
      <c r="R3" s="3">
        <v>1.470829814555593E-2</v>
      </c>
      <c r="S3">
        <v>0.26400598031479711</v>
      </c>
      <c r="T3">
        <v>0.33344510257438648</v>
      </c>
      <c r="U3">
        <v>0.28483771699267391</v>
      </c>
      <c r="V3">
        <v>11</v>
      </c>
      <c r="X3" cm="1">
        <f t="array" ref="X3">(L3-MIN($L$2:$L$17))/(MAX($L$2:$L$17-MIN(L3:L18)))</f>
        <v>0.20414945212861504</v>
      </c>
      <c r="Y3">
        <f t="shared" ref="Y3:Y17" si="5">L3/MAX($L$2:$L$17)</f>
        <v>0.26400598031479711</v>
      </c>
      <c r="AA3" cm="1">
        <f t="array" ref="AA3">(K3-MIN($K$2:$K$17))/(MAX($K$2:$K$17-MIN($K$2:$K$17)))</f>
        <v>0.17691494653071374</v>
      </c>
      <c r="AB3">
        <f t="shared" ref="AB3:AB17" si="6">K3/MAX($K$2:$K$17)</f>
        <v>0.23547169523494049</v>
      </c>
      <c r="AD3" cm="1">
        <f t="array" ref="AD3">(R3-MIN($R$2:$R$17))/(MAX($R$2:$R$17-MIN($R$2:$R$17)))</f>
        <v>0.10580966198520407</v>
      </c>
      <c r="AE3">
        <f t="shared" ref="AE3:AE17" si="7">R3/MAX($R$2:$R$17)</f>
        <v>0.33344510257438653</v>
      </c>
      <c r="AG3" s="4">
        <f t="shared" ref="AG3:AG17" si="8">X3*0.7+AD3*0.3</f>
        <v>0.17464751508559173</v>
      </c>
      <c r="AH3" s="4">
        <f t="shared" ref="AH3:AH17" si="9">Y3*0.7+AE3*0.3</f>
        <v>0.28483771699267391</v>
      </c>
      <c r="AL3" t="s">
        <v>25</v>
      </c>
      <c r="AM3">
        <v>0.5909825758936591</v>
      </c>
      <c r="AO3" t="s">
        <v>25</v>
      </c>
      <c r="AP3">
        <v>0.67555333150420571</v>
      </c>
    </row>
    <row r="4" spans="1:42" x14ac:dyDescent="0.25">
      <c r="A4" t="s">
        <v>19</v>
      </c>
      <c r="B4">
        <v>1230</v>
      </c>
      <c r="C4">
        <v>1127</v>
      </c>
      <c r="D4">
        <v>1280</v>
      </c>
      <c r="E4">
        <v>1193</v>
      </c>
      <c r="F4">
        <v>1334</v>
      </c>
      <c r="G4">
        <v>1302</v>
      </c>
      <c r="H4">
        <v>1326</v>
      </c>
      <c r="I4">
        <v>1429</v>
      </c>
      <c r="J4">
        <v>1229</v>
      </c>
      <c r="K4">
        <v>434153</v>
      </c>
      <c r="L4">
        <v>11450</v>
      </c>
      <c r="M4" s="4">
        <f t="shared" si="1"/>
        <v>2.637319101791304E-2</v>
      </c>
      <c r="N4" s="4">
        <f t="shared" si="2"/>
        <v>0.43286330159870667</v>
      </c>
      <c r="O4" s="4">
        <f t="shared" si="3"/>
        <v>0.17805753285815507</v>
      </c>
      <c r="P4" s="4">
        <f t="shared" si="4"/>
        <v>0.35642157097654115</v>
      </c>
      <c r="Q4">
        <f t="shared" si="0"/>
        <v>0.32146045201122431</v>
      </c>
      <c r="R4" s="3">
        <v>2.637319101791304E-2</v>
      </c>
      <c r="S4">
        <v>0.4755180862992649</v>
      </c>
      <c r="T4">
        <v>0.59789455565523697</v>
      </c>
      <c r="U4">
        <v>0.51223102710605639</v>
      </c>
      <c r="V4">
        <v>3</v>
      </c>
      <c r="X4" cm="1">
        <f t="array" ref="X4">(L4-MIN($L$2:$L$17))/(MAX($L$2:$L$17-MIN(L4:L19)))</f>
        <v>0.43286330159870667</v>
      </c>
      <c r="Y4">
        <f t="shared" si="5"/>
        <v>0.4755180862992649</v>
      </c>
      <c r="AA4" cm="1">
        <f t="array" ref="AA4">(K4-MIN($K$2:$K$17))/(MAX($K$2:$K$17-MIN($K$2:$K$17)))</f>
        <v>0.17805753285815507</v>
      </c>
      <c r="AB4">
        <f t="shared" si="6"/>
        <v>0.2365329945311487</v>
      </c>
      <c r="AD4" cm="1">
        <f t="array" ref="AD4">(R4-MIN($R$2:$R$17))/(MAX($R$2:$R$17-MIN($R$2:$R$17)))</f>
        <v>0.46057135791075637</v>
      </c>
      <c r="AE4">
        <f t="shared" si="7"/>
        <v>0.59789455565523653</v>
      </c>
      <c r="AG4" s="4">
        <f t="shared" si="8"/>
        <v>0.44117571849232157</v>
      </c>
      <c r="AH4" s="5">
        <f t="shared" si="9"/>
        <v>0.51223102710605639</v>
      </c>
      <c r="AL4" t="s">
        <v>19</v>
      </c>
      <c r="AM4">
        <v>0.44117571849232157</v>
      </c>
      <c r="AO4" t="s">
        <v>19</v>
      </c>
      <c r="AP4">
        <v>0.51223102710605639</v>
      </c>
    </row>
    <row r="5" spans="1:42" x14ac:dyDescent="0.25">
      <c r="A5" t="s">
        <v>20</v>
      </c>
      <c r="B5">
        <v>1133</v>
      </c>
      <c r="C5">
        <v>1151</v>
      </c>
      <c r="D5">
        <v>1324</v>
      </c>
      <c r="E5">
        <v>1233</v>
      </c>
      <c r="F5">
        <v>1175</v>
      </c>
      <c r="G5">
        <v>1058</v>
      </c>
      <c r="H5">
        <v>1202</v>
      </c>
      <c r="I5">
        <v>1222</v>
      </c>
      <c r="J5">
        <v>1161</v>
      </c>
      <c r="K5">
        <v>614447</v>
      </c>
      <c r="L5">
        <v>10659</v>
      </c>
      <c r="M5" s="4">
        <f t="shared" si="1"/>
        <v>1.7347305788782432E-2</v>
      </c>
      <c r="N5" s="4">
        <f t="shared" si="2"/>
        <v>0.39734147655828994</v>
      </c>
      <c r="O5" s="4">
        <f t="shared" si="3"/>
        <v>0.28380776864855733</v>
      </c>
      <c r="P5" s="4">
        <f t="shared" si="4"/>
        <v>0.36328136418537016</v>
      </c>
      <c r="Q5">
        <f t="shared" si="0"/>
        <v>0.19320865576086005</v>
      </c>
      <c r="R5" s="3">
        <v>1.7347305788782429E-2</v>
      </c>
      <c r="S5">
        <v>0.44266788487894021</v>
      </c>
      <c r="T5">
        <v>0.39327283829078069</v>
      </c>
      <c r="U5">
        <v>0.42784937090249231</v>
      </c>
      <c r="V5">
        <v>6</v>
      </c>
      <c r="X5" cm="1">
        <f t="array" ref="X5">(L5-MIN($L$2:$L$17))/(MAX($L$2:$L$17-MIN(L5:L20)))</f>
        <v>0.39734147655828994</v>
      </c>
      <c r="Y5">
        <f t="shared" si="5"/>
        <v>0.44266788487894015</v>
      </c>
      <c r="AA5" cm="1">
        <f t="array" ref="AA5">(K5-MIN($K$2:$K$17))/(MAX($K$2:$K$17-MIN($K$2:$K$17)))</f>
        <v>0.28380776864855733</v>
      </c>
      <c r="AB5">
        <f t="shared" si="6"/>
        <v>0.33475984017312038</v>
      </c>
      <c r="AD5" cm="1">
        <f t="array" ref="AD5">(R5-MIN($R$2:$R$17))/(MAX($R$2:$R$17-MIN($R$2:$R$17)))</f>
        <v>0.1860691926398004</v>
      </c>
      <c r="AE5">
        <f t="shared" si="7"/>
        <v>0.39327283829078064</v>
      </c>
      <c r="AG5" s="4">
        <f t="shared" si="8"/>
        <v>0.33395979138274307</v>
      </c>
      <c r="AH5" s="4">
        <f t="shared" si="9"/>
        <v>0.42784937090249225</v>
      </c>
      <c r="AL5" t="s">
        <v>23</v>
      </c>
      <c r="AM5">
        <v>0.41584475725031056</v>
      </c>
      <c r="AO5" t="s">
        <v>23</v>
      </c>
      <c r="AP5">
        <v>0.51150377562270277</v>
      </c>
    </row>
    <row r="6" spans="1:42" x14ac:dyDescent="0.25">
      <c r="A6" t="s">
        <v>21</v>
      </c>
      <c r="B6">
        <v>315</v>
      </c>
      <c r="C6">
        <v>274</v>
      </c>
      <c r="D6">
        <v>350</v>
      </c>
      <c r="E6">
        <v>308</v>
      </c>
      <c r="F6">
        <v>333</v>
      </c>
      <c r="G6">
        <v>274</v>
      </c>
      <c r="H6">
        <v>331</v>
      </c>
      <c r="I6">
        <v>322</v>
      </c>
      <c r="J6">
        <v>267</v>
      </c>
      <c r="K6">
        <v>217686</v>
      </c>
      <c r="L6">
        <v>2774</v>
      </c>
      <c r="M6" s="4">
        <f t="shared" si="1"/>
        <v>1.2743125419181758E-2</v>
      </c>
      <c r="N6" s="4">
        <f t="shared" si="2"/>
        <v>4.3245913418358185E-2</v>
      </c>
      <c r="O6" s="4">
        <f t="shared" si="3"/>
        <v>5.1090266666041023E-2</v>
      </c>
      <c r="P6" s="4">
        <f t="shared" si="4"/>
        <v>4.5599219392663037E-2</v>
      </c>
      <c r="Q6">
        <f t="shared" si="0"/>
        <v>-1.0852558365705207</v>
      </c>
      <c r="R6" s="3">
        <v>1.274312541918176E-2</v>
      </c>
      <c r="S6">
        <v>0.11520411977241581</v>
      </c>
      <c r="T6">
        <v>0.28889357017835521</v>
      </c>
      <c r="U6">
        <v>0.16731095489419759</v>
      </c>
      <c r="V6">
        <v>14</v>
      </c>
      <c r="X6" cm="1">
        <f t="array" ref="X6">(L6-MIN($L$2:$L$17))/(MAX($L$2:$L$17-MIN(L6:L21)))</f>
        <v>4.3245913418358185E-2</v>
      </c>
      <c r="Y6">
        <f t="shared" si="5"/>
        <v>0.11520411977241579</v>
      </c>
      <c r="AA6" cm="1">
        <f t="array" ref="AA6">(K6-MIN($K$2:$K$17))/(MAX($K$2:$K$17-MIN($K$2:$K$17)))</f>
        <v>5.1090266666041023E-2</v>
      </c>
      <c r="AB6">
        <f t="shared" si="6"/>
        <v>0.11859856190676475</v>
      </c>
      <c r="AD6" cm="1">
        <f t="array" ref="AD6">(R6-MIN($R$2:$R$17))/(MAX($R$2:$R$17-MIN($R$2:$R$17)))</f>
        <v>4.6043317208283183E-2</v>
      </c>
      <c r="AE6">
        <f t="shared" si="7"/>
        <v>0.28889357017835521</v>
      </c>
      <c r="AG6" s="4">
        <f t="shared" si="8"/>
        <v>4.4085134555335678E-2</v>
      </c>
      <c r="AH6" s="4">
        <f t="shared" si="9"/>
        <v>0.16731095489419762</v>
      </c>
      <c r="AL6" t="s">
        <v>27</v>
      </c>
      <c r="AM6">
        <v>0.38835717458296626</v>
      </c>
      <c r="AO6" t="s">
        <v>27</v>
      </c>
      <c r="AP6">
        <v>0.46354419289731907</v>
      </c>
    </row>
    <row r="7" spans="1:42" x14ac:dyDescent="0.25">
      <c r="A7" t="s">
        <v>22</v>
      </c>
      <c r="B7">
        <v>2525</v>
      </c>
      <c r="C7">
        <v>2297</v>
      </c>
      <c r="D7">
        <v>2817</v>
      </c>
      <c r="E7">
        <v>2691</v>
      </c>
      <c r="F7">
        <v>2894</v>
      </c>
      <c r="G7">
        <v>2646</v>
      </c>
      <c r="H7">
        <v>2780</v>
      </c>
      <c r="I7">
        <v>2821</v>
      </c>
      <c r="J7">
        <v>2608</v>
      </c>
      <c r="K7">
        <v>545884</v>
      </c>
      <c r="L7">
        <v>24079</v>
      </c>
      <c r="M7" s="4">
        <f t="shared" si="1"/>
        <v>4.411010397813455E-2</v>
      </c>
      <c r="N7" s="4">
        <f t="shared" si="2"/>
        <v>1</v>
      </c>
      <c r="O7" s="4">
        <f t="shared" si="3"/>
        <v>0.2435926011083322</v>
      </c>
      <c r="P7" s="4">
        <f t="shared" si="4"/>
        <v>0.77307778033249963</v>
      </c>
      <c r="Q7">
        <f t="shared" si="0"/>
        <v>2.3691114442310095</v>
      </c>
      <c r="R7" s="3">
        <v>4.411010397813455E-2</v>
      </c>
      <c r="S7">
        <v>1</v>
      </c>
      <c r="T7">
        <v>1</v>
      </c>
      <c r="U7">
        <v>1</v>
      </c>
      <c r="V7">
        <v>1</v>
      </c>
      <c r="X7" cm="1">
        <f t="array" ref="X7">(L7-MIN($L$2:$L$17))/(MAX($L$2:$L$17-MIN(L7:L22)))</f>
        <v>1</v>
      </c>
      <c r="Y7">
        <f t="shared" si="5"/>
        <v>1</v>
      </c>
      <c r="AA7" cm="1">
        <f t="array" ref="AA7">(K7-MIN($K$2:$K$17))/(MAX($K$2:$K$17-MIN($K$2:$K$17)))</f>
        <v>0.2435926011083322</v>
      </c>
      <c r="AB7">
        <f t="shared" si="6"/>
        <v>0.29740570072449479</v>
      </c>
      <c r="AD7" cm="1">
        <f t="array" ref="AD7">(R7-MIN($R$2:$R$17))/(MAX($R$2:$R$17-MIN($R$2:$R$17)))</f>
        <v>1</v>
      </c>
      <c r="AE7">
        <f t="shared" si="7"/>
        <v>1</v>
      </c>
      <c r="AG7" s="4">
        <f t="shared" si="8"/>
        <v>1</v>
      </c>
      <c r="AH7" s="4">
        <f t="shared" si="9"/>
        <v>1</v>
      </c>
      <c r="AL7" t="s">
        <v>20</v>
      </c>
      <c r="AM7">
        <v>0.33395979138274307</v>
      </c>
      <c r="AO7" t="s">
        <v>20</v>
      </c>
      <c r="AP7">
        <v>0.42784937090249225</v>
      </c>
    </row>
    <row r="8" spans="1:42" x14ac:dyDescent="0.25">
      <c r="A8" t="s">
        <v>23</v>
      </c>
      <c r="B8">
        <v>1486</v>
      </c>
      <c r="C8">
        <v>1507</v>
      </c>
      <c r="D8">
        <v>1763</v>
      </c>
      <c r="E8">
        <v>1659</v>
      </c>
      <c r="F8">
        <v>1730</v>
      </c>
      <c r="G8">
        <v>1634</v>
      </c>
      <c r="H8">
        <v>1656</v>
      </c>
      <c r="I8">
        <v>1645</v>
      </c>
      <c r="J8">
        <v>1590</v>
      </c>
      <c r="K8">
        <v>1173351</v>
      </c>
      <c r="L8">
        <v>14670</v>
      </c>
      <c r="M8" s="4">
        <f t="shared" si="1"/>
        <v>1.2502652658923034E-2</v>
      </c>
      <c r="N8" s="4">
        <f t="shared" si="2"/>
        <v>0.57746542123226152</v>
      </c>
      <c r="O8" s="4">
        <f t="shared" si="3"/>
        <v>0.61162915917846405</v>
      </c>
      <c r="P8" s="4">
        <f t="shared" si="4"/>
        <v>0.58771454261612222</v>
      </c>
      <c r="Q8">
        <f t="shared" si="0"/>
        <v>0.84354741019854784</v>
      </c>
      <c r="R8" s="3">
        <v>1.250265265892303E-2</v>
      </c>
      <c r="S8">
        <v>0.60924456995722409</v>
      </c>
      <c r="T8">
        <v>0.28344192217548658</v>
      </c>
      <c r="U8">
        <v>0.51150377562270288</v>
      </c>
      <c r="V8">
        <v>4</v>
      </c>
      <c r="X8" cm="1">
        <f t="array" ref="X8">(L8-MIN($L$2:$L$17))/(MAX($L$2:$L$17-MIN(L8:L23)))</f>
        <v>0.57746542123226152</v>
      </c>
      <c r="Y8">
        <f t="shared" si="5"/>
        <v>0.60924456995722409</v>
      </c>
      <c r="AA8" cm="1">
        <f t="array" ref="AA8">(K8-MIN($K$2:$K$17))/(MAX($K$2:$K$17-MIN($K$2:$K$17)))</f>
        <v>0.61162915917846405</v>
      </c>
      <c r="AB8">
        <f t="shared" si="6"/>
        <v>0.63925903003346252</v>
      </c>
      <c r="AD8" cm="1">
        <f t="array" ref="AD8">(R8-MIN($R$2:$R$17))/(MAX($R$2:$R$17-MIN($R$2:$R$17)))</f>
        <v>3.8729874625758463E-2</v>
      </c>
      <c r="AE8">
        <f t="shared" si="7"/>
        <v>0.28344192217548647</v>
      </c>
      <c r="AG8" s="4">
        <f t="shared" si="8"/>
        <v>0.41584475725031056</v>
      </c>
      <c r="AH8" s="5">
        <f t="shared" si="9"/>
        <v>0.51150377562270277</v>
      </c>
      <c r="AL8" t="s">
        <v>31</v>
      </c>
      <c r="AM8">
        <v>0.32858317397644959</v>
      </c>
      <c r="AO8" t="s">
        <v>17</v>
      </c>
      <c r="AP8">
        <v>0.38691769250420593</v>
      </c>
    </row>
    <row r="9" spans="1:42" x14ac:dyDescent="0.25">
      <c r="A9" t="s">
        <v>24</v>
      </c>
      <c r="B9">
        <v>753</v>
      </c>
      <c r="C9">
        <v>762</v>
      </c>
      <c r="D9">
        <v>907</v>
      </c>
      <c r="E9">
        <v>927</v>
      </c>
      <c r="F9">
        <v>854</v>
      </c>
      <c r="G9">
        <v>753</v>
      </c>
      <c r="H9">
        <v>789</v>
      </c>
      <c r="I9">
        <v>878</v>
      </c>
      <c r="J9">
        <v>837</v>
      </c>
      <c r="K9">
        <v>404695</v>
      </c>
      <c r="L9">
        <v>7460</v>
      </c>
      <c r="M9" s="4">
        <f t="shared" si="1"/>
        <v>1.8433635206760647E-2</v>
      </c>
      <c r="N9" s="4">
        <f t="shared" si="2"/>
        <v>0.25368241422669302</v>
      </c>
      <c r="O9" s="4">
        <f t="shared" si="3"/>
        <v>0.16077914064369606</v>
      </c>
      <c r="P9" s="4">
        <f t="shared" si="4"/>
        <v>0.22581143215179394</v>
      </c>
      <c r="Q9">
        <f t="shared" si="0"/>
        <v>-0.32547338748176352</v>
      </c>
      <c r="R9" s="3">
        <v>1.8433635206760651E-2</v>
      </c>
      <c r="S9">
        <v>0.30981353046222848</v>
      </c>
      <c r="T9">
        <v>0.41790051585229149</v>
      </c>
      <c r="U9">
        <v>0.34223962607924741</v>
      </c>
      <c r="V9">
        <v>10</v>
      </c>
      <c r="X9" cm="1">
        <f t="array" ref="X9">(L9-MIN($L$2:$L$17))/(MAX($L$2:$L$17-MIN(L9:L24)))</f>
        <v>0.25368241422669302</v>
      </c>
      <c r="Y9">
        <f t="shared" si="5"/>
        <v>0.30981353046222848</v>
      </c>
      <c r="AA9" cm="1">
        <f t="array" ref="AA9">(K9-MIN($K$2:$K$17))/(MAX($K$2:$K$17-MIN($K$2:$K$17)))</f>
        <v>0.16077914064369606</v>
      </c>
      <c r="AB9">
        <f t="shared" si="6"/>
        <v>0.22048383915758551</v>
      </c>
      <c r="AD9" cm="1">
        <f t="array" ref="AD9">(R9-MIN($R$2:$R$17))/(MAX($R$2:$R$17-MIN($R$2:$R$17)))</f>
        <v>0.2191074786208955</v>
      </c>
      <c r="AE9">
        <f t="shared" si="7"/>
        <v>0.41790051585229165</v>
      </c>
      <c r="AG9" s="4">
        <f t="shared" si="8"/>
        <v>0.24330993354495375</v>
      </c>
      <c r="AH9" s="4">
        <f t="shared" si="9"/>
        <v>0.34223962607924741</v>
      </c>
      <c r="AL9" t="s">
        <v>30</v>
      </c>
      <c r="AM9">
        <v>0.32520226286635912</v>
      </c>
      <c r="AO9" t="s">
        <v>31</v>
      </c>
      <c r="AP9">
        <v>0.38525123191213972</v>
      </c>
    </row>
    <row r="10" spans="1:42" x14ac:dyDescent="0.25">
      <c r="A10" t="s">
        <v>25</v>
      </c>
      <c r="B10">
        <v>2313</v>
      </c>
      <c r="C10">
        <v>2134</v>
      </c>
      <c r="D10">
        <v>2440</v>
      </c>
      <c r="E10">
        <v>2288</v>
      </c>
      <c r="F10">
        <v>2362</v>
      </c>
      <c r="G10">
        <v>2088</v>
      </c>
      <c r="H10">
        <v>2293</v>
      </c>
      <c r="I10">
        <v>2388</v>
      </c>
      <c r="J10">
        <v>2305</v>
      </c>
      <c r="K10">
        <v>1835486</v>
      </c>
      <c r="L10">
        <v>20611</v>
      </c>
      <c r="M10" s="4">
        <f t="shared" si="1"/>
        <v>1.122917853908992E-2</v>
      </c>
      <c r="N10" s="4">
        <f t="shared" si="2"/>
        <v>0.84426082270522729</v>
      </c>
      <c r="O10" s="4">
        <f t="shared" si="3"/>
        <v>1</v>
      </c>
      <c r="P10" s="4">
        <f t="shared" si="4"/>
        <v>0.89098257589365915</v>
      </c>
      <c r="Q10">
        <f t="shared" si="0"/>
        <v>1.8068140619348487</v>
      </c>
      <c r="R10" s="3">
        <v>1.122917853908992E-2</v>
      </c>
      <c r="S10">
        <v>0.85597408530254582</v>
      </c>
      <c r="T10">
        <v>0.25457157264141211</v>
      </c>
      <c r="U10">
        <v>0.67555333150420571</v>
      </c>
      <c r="V10">
        <v>2</v>
      </c>
      <c r="X10" cm="1">
        <f t="array" ref="X10">(L10-MIN($L$2:$L$17))/(MAX($L$2:$L$17-MIN(L10:L25)))</f>
        <v>0.84426082270522729</v>
      </c>
      <c r="Y10">
        <f t="shared" si="5"/>
        <v>0.85597408530254582</v>
      </c>
      <c r="AA10" cm="1">
        <f t="array" ref="AA10">(K10-MIN($K$2:$K$17))/(MAX($K$2:$K$17-MIN($K$2:$K$17)))</f>
        <v>1</v>
      </c>
      <c r="AB10">
        <f t="shared" si="6"/>
        <v>1</v>
      </c>
      <c r="AD10" cm="1">
        <f t="array" ref="AD10">(R10-MIN($R$2:$R$17))/(MAX($R$2:$R$17-MIN($R$2:$R$17)))</f>
        <v>0</v>
      </c>
      <c r="AE10">
        <f t="shared" si="7"/>
        <v>0.25457157264141206</v>
      </c>
      <c r="AG10" s="4">
        <f t="shared" si="8"/>
        <v>0.5909825758936591</v>
      </c>
      <c r="AH10" s="4">
        <f t="shared" si="9"/>
        <v>0.67555333150420571</v>
      </c>
      <c r="AL10" t="s">
        <v>17</v>
      </c>
      <c r="AM10">
        <v>0.28271794786396665</v>
      </c>
      <c r="AO10" t="s">
        <v>30</v>
      </c>
      <c r="AP10">
        <v>0.38477617709805939</v>
      </c>
    </row>
    <row r="11" spans="1:42" x14ac:dyDescent="0.25">
      <c r="A11" t="s">
        <v>26</v>
      </c>
      <c r="B11">
        <v>297</v>
      </c>
      <c r="C11">
        <v>273</v>
      </c>
      <c r="D11">
        <v>333</v>
      </c>
      <c r="E11">
        <v>328</v>
      </c>
      <c r="F11">
        <v>329</v>
      </c>
      <c r="G11">
        <v>314</v>
      </c>
      <c r="H11">
        <v>353</v>
      </c>
      <c r="I11">
        <v>351</v>
      </c>
      <c r="J11">
        <v>300</v>
      </c>
      <c r="K11">
        <v>247256</v>
      </c>
      <c r="L11">
        <v>2878</v>
      </c>
      <c r="M11" s="4">
        <f t="shared" si="1"/>
        <v>1.1639757983628304E-2</v>
      </c>
      <c r="N11" s="4">
        <f t="shared" si="2"/>
        <v>4.7916292437578591E-2</v>
      </c>
      <c r="O11" s="4">
        <f t="shared" si="3"/>
        <v>6.8434351728895004E-2</v>
      </c>
      <c r="P11" s="4">
        <f t="shared" si="4"/>
        <v>5.4071710224973507E-2</v>
      </c>
      <c r="Q11">
        <f t="shared" si="0"/>
        <v>-1.0683934006539115</v>
      </c>
      <c r="R11" s="3">
        <v>1.1639757983628299E-2</v>
      </c>
      <c r="S11">
        <v>0.11952323601478471</v>
      </c>
      <c r="T11">
        <v>0.26387963151023519</v>
      </c>
      <c r="U11">
        <v>0.1628301546634198</v>
      </c>
      <c r="V11">
        <v>15</v>
      </c>
      <c r="X11" cm="1">
        <f t="array" ref="X11">(L11-MIN($L$2:$L$17))/(MAX($L$2:$L$17-MIN(L11:L26)))</f>
        <v>4.7916292437578591E-2</v>
      </c>
      <c r="Y11">
        <f t="shared" si="5"/>
        <v>0.11952323601478466</v>
      </c>
      <c r="AA11" cm="1">
        <f t="array" ref="AA11">(K11-MIN($K$2:$K$17))/(MAX($K$2:$K$17-MIN($K$2:$K$17)))</f>
        <v>6.8434351728895004E-2</v>
      </c>
      <c r="AB11">
        <f t="shared" si="6"/>
        <v>0.13470873654171156</v>
      </c>
      <c r="AD11" cm="1">
        <f t="array" ref="AD11">(R11-MIN($R$2:$R$17))/(MAX($R$2:$R$17-MIN($R$2:$R$17)))</f>
        <v>1.2486857929212501E-2</v>
      </c>
      <c r="AE11">
        <f t="shared" si="7"/>
        <v>0.26387963151023508</v>
      </c>
      <c r="AG11" s="4">
        <f t="shared" si="8"/>
        <v>3.7287462085068765E-2</v>
      </c>
      <c r="AH11" s="4">
        <f t="shared" si="9"/>
        <v>0.16283015466341977</v>
      </c>
      <c r="AL11" t="s">
        <v>24</v>
      </c>
      <c r="AM11">
        <v>0.24330993354495375</v>
      </c>
      <c r="AO11" t="s">
        <v>24</v>
      </c>
      <c r="AP11">
        <v>0.34223962607924741</v>
      </c>
    </row>
    <row r="12" spans="1:42" x14ac:dyDescent="0.25">
      <c r="A12" t="s">
        <v>27</v>
      </c>
      <c r="B12">
        <v>956</v>
      </c>
      <c r="C12">
        <v>955</v>
      </c>
      <c r="D12">
        <v>1127</v>
      </c>
      <c r="E12">
        <v>1120</v>
      </c>
      <c r="F12">
        <v>1173</v>
      </c>
      <c r="G12">
        <v>1168</v>
      </c>
      <c r="H12">
        <v>1134</v>
      </c>
      <c r="I12">
        <v>1139</v>
      </c>
      <c r="J12">
        <v>1026</v>
      </c>
      <c r="K12">
        <v>372889</v>
      </c>
      <c r="L12">
        <v>9798</v>
      </c>
      <c r="M12" s="4">
        <f t="shared" si="1"/>
        <v>2.6275915889178818E-2</v>
      </c>
      <c r="N12" s="4">
        <f t="shared" si="2"/>
        <v>0.35867612717801328</v>
      </c>
      <c r="O12" s="4">
        <f t="shared" si="3"/>
        <v>0.1421235447860994</v>
      </c>
      <c r="P12" s="4">
        <f t="shared" si="4"/>
        <v>0.29371035246043908</v>
      </c>
      <c r="Q12">
        <f t="shared" si="0"/>
        <v>5.3607143028162683E-2</v>
      </c>
      <c r="R12" s="3">
        <v>2.6275915889178821E-2</v>
      </c>
      <c r="S12">
        <v>0.40691058598779017</v>
      </c>
      <c r="T12">
        <v>0.59568927568621988</v>
      </c>
      <c r="U12">
        <v>0.46354419289731907</v>
      </c>
      <c r="V12">
        <v>5</v>
      </c>
      <c r="X12" cm="1">
        <f t="array" ref="X12">(L12-MIN($L$2:$L$17))/(MAX($L$2:$L$17-MIN(L12:L27)))</f>
        <v>0.35867612717801328</v>
      </c>
      <c r="Y12">
        <f t="shared" si="5"/>
        <v>0.40691058598779017</v>
      </c>
      <c r="AA12" cm="1">
        <f t="array" ref="AA12">(K12-MIN($K$2:$K$17))/(MAX($K$2:$K$17-MIN($K$2:$K$17)))</f>
        <v>0.1421235447860994</v>
      </c>
      <c r="AB12">
        <f t="shared" si="6"/>
        <v>0.20315545855430114</v>
      </c>
      <c r="AD12" cm="1">
        <f t="array" ref="AD12">(R12-MIN($R$2:$R$17))/(MAX($R$2:$R$17-MIN($R$2:$R$17)))</f>
        <v>0.45761295186118978</v>
      </c>
      <c r="AE12">
        <f t="shared" si="7"/>
        <v>0.59568927568621999</v>
      </c>
      <c r="AG12" s="4">
        <f t="shared" si="8"/>
        <v>0.38835717458296626</v>
      </c>
      <c r="AH12" s="4">
        <f t="shared" si="9"/>
        <v>0.46354419289731907</v>
      </c>
      <c r="AL12" t="s">
        <v>18</v>
      </c>
      <c r="AM12">
        <v>0.17464751508559173</v>
      </c>
      <c r="AO12" t="s">
        <v>18</v>
      </c>
      <c r="AP12">
        <v>0.28483771699267391</v>
      </c>
    </row>
    <row r="13" spans="1:42" x14ac:dyDescent="0.25">
      <c r="A13" t="s">
        <v>28</v>
      </c>
      <c r="B13">
        <v>129</v>
      </c>
      <c r="C13">
        <v>189</v>
      </c>
      <c r="D13">
        <v>224</v>
      </c>
      <c r="E13">
        <v>221</v>
      </c>
      <c r="F13">
        <v>213</v>
      </c>
      <c r="G13">
        <v>210</v>
      </c>
      <c r="H13">
        <v>203</v>
      </c>
      <c r="I13">
        <v>217</v>
      </c>
      <c r="J13">
        <v>205</v>
      </c>
      <c r="K13">
        <v>130582</v>
      </c>
      <c r="L13">
        <v>1811</v>
      </c>
      <c r="M13" s="4">
        <f t="shared" si="1"/>
        <v>1.3868680216262579E-2</v>
      </c>
      <c r="N13" s="4">
        <f t="shared" si="2"/>
        <v>0</v>
      </c>
      <c r="O13" s="4">
        <f>(K13-MIN($K$2:$K$17))/(MAX($K$2:$K$17)-MIN($K$2:$K$17))</f>
        <v>0</v>
      </c>
      <c r="P13" s="4">
        <f t="shared" si="4"/>
        <v>0</v>
      </c>
      <c r="Q13">
        <f t="shared" si="0"/>
        <v>-1.2413955076060463</v>
      </c>
      <c r="R13" s="3">
        <v>1.386868021626258E-2</v>
      </c>
      <c r="S13">
        <v>7.5210764566634822E-2</v>
      </c>
      <c r="T13">
        <v>0.31441050837552559</v>
      </c>
      <c r="U13">
        <v>0.14697068770930211</v>
      </c>
      <c r="V13">
        <v>16</v>
      </c>
      <c r="X13" cm="1">
        <f t="array" ref="X13">(L13-MIN($L$2:$L$17))/(MAX($L$2:$L$17-MIN(L13:L28)))</f>
        <v>0</v>
      </c>
      <c r="Y13">
        <f t="shared" si="5"/>
        <v>7.5210764566634822E-2</v>
      </c>
      <c r="AA13" cm="1">
        <f t="array" ref="AA13">(K13-MIN($K$2:$K$17))/(MAX($K$2:$K$17-MIN($K$2:$K$17)))</f>
        <v>0</v>
      </c>
      <c r="AB13">
        <f t="shared" si="6"/>
        <v>7.1143010624978895E-2</v>
      </c>
      <c r="AD13" cm="1">
        <f t="array" ref="AD13">(R13-MIN($R$2:$R$17))/(MAX($R$2:$R$17-MIN($R$2:$R$17)))</f>
        <v>8.0274555595031091E-2</v>
      </c>
      <c r="AE13">
        <f t="shared" si="7"/>
        <v>0.31441050837552564</v>
      </c>
      <c r="AG13" s="4">
        <f t="shared" si="8"/>
        <v>2.4082366678509326E-2</v>
      </c>
      <c r="AH13" s="4">
        <f t="shared" si="9"/>
        <v>0.14697068770930205</v>
      </c>
      <c r="AL13" t="s">
        <v>29</v>
      </c>
      <c r="AM13">
        <v>0.13758350273360989</v>
      </c>
      <c r="AO13" t="s">
        <v>29</v>
      </c>
      <c r="AP13">
        <v>0.23700074099375401</v>
      </c>
    </row>
    <row r="14" spans="1:42" x14ac:dyDescent="0.25">
      <c r="A14" t="s">
        <v>29</v>
      </c>
      <c r="B14">
        <v>532</v>
      </c>
      <c r="C14">
        <v>545</v>
      </c>
      <c r="D14">
        <v>662</v>
      </c>
      <c r="E14">
        <v>552</v>
      </c>
      <c r="F14">
        <v>621</v>
      </c>
      <c r="G14">
        <v>553</v>
      </c>
      <c r="H14">
        <v>579</v>
      </c>
      <c r="I14">
        <v>554</v>
      </c>
      <c r="J14">
        <v>509</v>
      </c>
      <c r="K14">
        <v>392313</v>
      </c>
      <c r="L14">
        <v>5107</v>
      </c>
      <c r="M14" s="4">
        <f t="shared" si="1"/>
        <v>1.3017667015877627E-2</v>
      </c>
      <c r="N14" s="4">
        <f t="shared" si="2"/>
        <v>0.14801508891683132</v>
      </c>
      <c r="O14" s="4">
        <f t="shared" si="3"/>
        <v>0.153516561636315</v>
      </c>
      <c r="P14" s="4">
        <f t="shared" si="4"/>
        <v>0.14966553073267641</v>
      </c>
      <c r="Q14">
        <f t="shared" si="0"/>
        <v>-0.70698600009504686</v>
      </c>
      <c r="R14" s="3">
        <v>1.3017667015877629E-2</v>
      </c>
      <c r="S14">
        <v>0.21209352547863281</v>
      </c>
      <c r="T14">
        <v>0.29511757719570342</v>
      </c>
      <c r="U14">
        <v>0.23700074099375401</v>
      </c>
      <c r="V14">
        <v>12</v>
      </c>
      <c r="X14" cm="1">
        <f t="array" ref="X14">(L14-MIN($L$2:$L$17))/(MAX($L$2:$L$17-MIN(L14:L29)))</f>
        <v>0.17323662356774941</v>
      </c>
      <c r="Y14">
        <f t="shared" si="5"/>
        <v>0.21209352547863283</v>
      </c>
      <c r="AA14" cm="1">
        <f t="array" ref="AA14">(K14-MIN($K$2:$K$17))/(MAX($K$2:$K$17-MIN($K$2:$K$17)))</f>
        <v>0.153516561636315</v>
      </c>
      <c r="AB14">
        <f t="shared" si="6"/>
        <v>0.21373794188569131</v>
      </c>
      <c r="AD14" cm="1">
        <f t="array" ref="AD14">(R14-MIN($R$2:$R$17))/(MAX($R$2:$R$17-MIN($R$2:$R$17)))</f>
        <v>5.4392887453951017E-2</v>
      </c>
      <c r="AE14">
        <f t="shared" si="7"/>
        <v>0.29511757719570347</v>
      </c>
      <c r="AG14" s="4">
        <f t="shared" si="8"/>
        <v>0.13758350273360989</v>
      </c>
      <c r="AH14" s="4">
        <f t="shared" si="9"/>
        <v>0.23700074099375401</v>
      </c>
      <c r="AL14" t="s">
        <v>32</v>
      </c>
      <c r="AM14">
        <v>0.12791476713448022</v>
      </c>
      <c r="AO14" t="s">
        <v>32</v>
      </c>
      <c r="AP14">
        <v>0.22970454161781695</v>
      </c>
    </row>
    <row r="15" spans="1:42" x14ac:dyDescent="0.25">
      <c r="A15" t="s">
        <v>30</v>
      </c>
      <c r="B15">
        <v>1094</v>
      </c>
      <c r="C15">
        <v>1020</v>
      </c>
      <c r="D15">
        <v>1177</v>
      </c>
      <c r="E15">
        <v>1059</v>
      </c>
      <c r="F15">
        <v>1214</v>
      </c>
      <c r="G15">
        <v>1001</v>
      </c>
      <c r="H15">
        <v>1188</v>
      </c>
      <c r="I15">
        <v>1065</v>
      </c>
      <c r="J15">
        <v>1102</v>
      </c>
      <c r="K15">
        <v>699928</v>
      </c>
      <c r="L15">
        <v>9920</v>
      </c>
      <c r="M15" s="4">
        <f t="shared" si="1"/>
        <v>1.4172886354024986E-2</v>
      </c>
      <c r="N15" s="4">
        <f t="shared" si="2"/>
        <v>0.36415484102748341</v>
      </c>
      <c r="O15" s="4">
        <f t="shared" si="3"/>
        <v>0.33394607555616035</v>
      </c>
      <c r="P15" s="4">
        <f t="shared" si="4"/>
        <v>0.35509221138608649</v>
      </c>
      <c r="Q15">
        <f t="shared" si="0"/>
        <v>7.3388077468800411E-2</v>
      </c>
      <c r="R15" s="3">
        <v>1.4172886354024991E-2</v>
      </c>
      <c r="S15">
        <v>0.41197724157979981</v>
      </c>
      <c r="T15">
        <v>0.32130702664066513</v>
      </c>
      <c r="U15">
        <v>0.38477617709805928</v>
      </c>
      <c r="V15">
        <v>9</v>
      </c>
      <c r="X15" cm="1">
        <f t="array" ref="X15">(L15-MIN($L$2:$L$17))/(MAX($L$2:$L$17-MIN(L15:L30)))</f>
        <v>0.42620624408703878</v>
      </c>
      <c r="Y15">
        <f t="shared" si="5"/>
        <v>0.41197724157979981</v>
      </c>
      <c r="AA15" cm="1">
        <f t="array" ref="AA15">(K15-MIN($K$2:$K$17))/(MAX($K$2:$K$17-MIN($K$2:$K$17)))</f>
        <v>0.33394607555616035</v>
      </c>
      <c r="AB15">
        <f t="shared" si="6"/>
        <v>0.38133115697967734</v>
      </c>
      <c r="AD15" cm="1">
        <f t="array" ref="AD15">(R15-MIN($R$2:$R$17))/(MAX($R$2:$R$17-MIN($R$2:$R$17)))</f>
        <v>8.952630668477321E-2</v>
      </c>
      <c r="AE15">
        <f t="shared" si="7"/>
        <v>0.32130702664066524</v>
      </c>
      <c r="AG15" s="4">
        <f t="shared" si="8"/>
        <v>0.32520226286635912</v>
      </c>
      <c r="AH15" s="4">
        <f t="shared" si="9"/>
        <v>0.38477617709805939</v>
      </c>
      <c r="AL15" t="s">
        <v>21</v>
      </c>
      <c r="AM15">
        <v>4.4085134555335678E-2</v>
      </c>
      <c r="AO15" t="s">
        <v>21</v>
      </c>
      <c r="AP15">
        <v>0.16731095489419762</v>
      </c>
    </row>
    <row r="16" spans="1:42" x14ac:dyDescent="0.25">
      <c r="A16" t="s">
        <v>31</v>
      </c>
      <c r="B16">
        <v>938</v>
      </c>
      <c r="C16">
        <v>972</v>
      </c>
      <c r="D16">
        <v>1059</v>
      </c>
      <c r="E16">
        <v>989</v>
      </c>
      <c r="F16">
        <v>974</v>
      </c>
      <c r="G16">
        <v>894</v>
      </c>
      <c r="H16">
        <v>967</v>
      </c>
      <c r="I16">
        <v>958</v>
      </c>
      <c r="J16">
        <v>926</v>
      </c>
      <c r="K16">
        <v>443704</v>
      </c>
      <c r="L16">
        <v>8677</v>
      </c>
      <c r="M16" s="4">
        <f t="shared" si="1"/>
        <v>1.9555830012801326E-2</v>
      </c>
      <c r="N16" s="4">
        <f t="shared" si="2"/>
        <v>0.30833483024968567</v>
      </c>
      <c r="O16" s="4">
        <f t="shared" si="3"/>
        <v>0.18365960781369509</v>
      </c>
      <c r="P16" s="4">
        <f t="shared" si="4"/>
        <v>0.27093226351888849</v>
      </c>
      <c r="Q16">
        <f t="shared" si="0"/>
        <v>-0.12815045949605772</v>
      </c>
      <c r="R16" s="3">
        <v>1.9555830012801329E-2</v>
      </c>
      <c r="S16">
        <v>0.36035549649071807</v>
      </c>
      <c r="T16">
        <v>0.44334128122879018</v>
      </c>
      <c r="U16">
        <v>0.38525123191213972</v>
      </c>
      <c r="V16">
        <v>8</v>
      </c>
      <c r="X16" cm="1">
        <f t="array" ref="X16">(L16-MIN($L$2:$L$17))/(MAX($L$2:$L$17-MIN(L16:L31)))</f>
        <v>0.36087459266267213</v>
      </c>
      <c r="Y16">
        <f t="shared" si="5"/>
        <v>0.36035549649071807</v>
      </c>
      <c r="AA16" cm="1">
        <f t="array" ref="AA16">(K16-MIN($K$2:$K$17))/(MAX($K$2:$K$17-MIN($K$2:$K$17)))</f>
        <v>0.18365960781369509</v>
      </c>
      <c r="AB16">
        <f t="shared" si="6"/>
        <v>0.24173652100860479</v>
      </c>
      <c r="AD16" cm="1">
        <f t="array" ref="AD16">(R16-MIN($R$2:$R$17))/(MAX($R$2:$R$17-MIN($R$2:$R$17)))</f>
        <v>0.25323653037526378</v>
      </c>
      <c r="AE16">
        <f t="shared" si="7"/>
        <v>0.44334128122879024</v>
      </c>
      <c r="AG16" s="4">
        <f t="shared" si="8"/>
        <v>0.32858317397644959</v>
      </c>
      <c r="AH16" s="4">
        <f t="shared" si="9"/>
        <v>0.38525123191213972</v>
      </c>
      <c r="AL16" t="s">
        <v>26</v>
      </c>
      <c r="AM16">
        <v>3.7287462085068765E-2</v>
      </c>
      <c r="AO16" t="s">
        <v>26</v>
      </c>
      <c r="AP16">
        <v>0.16283015466341977</v>
      </c>
    </row>
    <row r="17" spans="1:42" x14ac:dyDescent="0.25">
      <c r="A17" t="s">
        <v>32</v>
      </c>
      <c r="B17">
        <v>554</v>
      </c>
      <c r="C17">
        <v>511</v>
      </c>
      <c r="D17">
        <v>591</v>
      </c>
      <c r="E17">
        <v>615</v>
      </c>
      <c r="F17">
        <v>594</v>
      </c>
      <c r="G17">
        <v>531</v>
      </c>
      <c r="H17">
        <v>613</v>
      </c>
      <c r="I17">
        <v>509</v>
      </c>
      <c r="J17">
        <v>535</v>
      </c>
      <c r="K17">
        <v>415007</v>
      </c>
      <c r="L17">
        <v>5053</v>
      </c>
      <c r="M17" s="4">
        <f t="shared" si="1"/>
        <v>1.2175698241234486E-2</v>
      </c>
      <c r="N17" s="4">
        <f t="shared" si="2"/>
        <v>0.14559008442608226</v>
      </c>
      <c r="O17" s="4">
        <f t="shared" si="3"/>
        <v>0.16682757504234844</v>
      </c>
      <c r="P17" s="4">
        <f t="shared" si="4"/>
        <v>0.15196133161096212</v>
      </c>
      <c r="Q17">
        <f t="shared" si="0"/>
        <v>-0.71574149566713241</v>
      </c>
      <c r="R17" s="3">
        <v>1.2175698241234489E-2</v>
      </c>
      <c r="S17">
        <v>0.20985090742971049</v>
      </c>
      <c r="T17">
        <v>0.27602968805673178</v>
      </c>
      <c r="U17">
        <v>0.22970454161781689</v>
      </c>
      <c r="V17">
        <v>13</v>
      </c>
      <c r="X17" cm="1">
        <f t="array" ref="X17">(L17-MIN($L$2:$L$17))/(MAX($L$2:$L$17-MIN(L17:L32)))</f>
        <v>0.17039840218648167</v>
      </c>
      <c r="Y17">
        <f t="shared" si="5"/>
        <v>0.20985090742971055</v>
      </c>
      <c r="AA17" cm="1">
        <f t="array" ref="AA17">(K17-MIN($K$2:$K$17))/(MAX($K$2:$K$17-MIN($K$2:$K$17)))</f>
        <v>0.16682757504234844</v>
      </c>
      <c r="AB17">
        <f t="shared" si="6"/>
        <v>0.22610196972355007</v>
      </c>
      <c r="AD17" cm="1">
        <f t="array" ref="AD17">(R17-MIN($R$2:$R$17))/(MAX($R$2:$R$17-MIN($R$2:$R$17)))</f>
        <v>2.8786285346476891E-2</v>
      </c>
      <c r="AE17">
        <f t="shared" si="7"/>
        <v>0.27602968805673189</v>
      </c>
      <c r="AG17" s="4">
        <f t="shared" si="8"/>
        <v>0.12791476713448022</v>
      </c>
      <c r="AH17" s="4">
        <f t="shared" si="9"/>
        <v>0.22970454161781695</v>
      </c>
      <c r="AL17" t="s">
        <v>28</v>
      </c>
      <c r="AM17">
        <v>2.4082366678509326E-2</v>
      </c>
      <c r="AO17" t="s">
        <v>28</v>
      </c>
      <c r="AP17">
        <v>0.14697068770930205</v>
      </c>
    </row>
    <row r="19" spans="1:42" x14ac:dyDescent="0.25">
      <c r="Q19" s="1">
        <f>AVERAGE(L2:L17)</f>
        <v>9467.375</v>
      </c>
    </row>
    <row r="20" spans="1:42" x14ac:dyDescent="0.25">
      <c r="L20">
        <f>MAX(L2:L17)</f>
        <v>24079</v>
      </c>
      <c r="S20">
        <f>S2*0.7+T2*0.3</f>
        <v>0.38691769250420593</v>
      </c>
    </row>
    <row r="21" spans="1:42" x14ac:dyDescent="0.25">
      <c r="Q21" s="1">
        <f>_xlfn.STDEV.S(L2:L17)</f>
        <v>6167.554943681761</v>
      </c>
    </row>
    <row r="23" spans="1:42" x14ac:dyDescent="0.25">
      <c r="S23">
        <f>L2/L7</f>
        <v>0.4225258524025084</v>
      </c>
    </row>
  </sheetData>
  <sortState xmlns:xlrd2="http://schemas.microsoft.com/office/spreadsheetml/2017/richdata2" ref="AO2:AP17">
    <sortCondition descending="1" ref="AP2:AP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47B0-ED7B-43A5-8033-07142D424AA9}">
  <dimension ref="A1:C17"/>
  <sheetViews>
    <sheetView tabSelected="1" workbookViewId="0">
      <selection activeCell="A16" sqref="A16"/>
    </sheetView>
  </sheetViews>
  <sheetFormatPr baseColWidth="10" defaultRowHeight="15" x14ac:dyDescent="0.25"/>
  <sheetData>
    <row r="1" spans="1:3" x14ac:dyDescent="0.25">
      <c r="A1" s="1" t="s">
        <v>35</v>
      </c>
      <c r="B1" t="s">
        <v>36</v>
      </c>
      <c r="C1" t="s">
        <v>37</v>
      </c>
    </row>
    <row r="2" spans="1:3" x14ac:dyDescent="0.25">
      <c r="A2" t="s">
        <v>17</v>
      </c>
      <c r="B2">
        <v>0.38691769250420593</v>
      </c>
      <c r="C2">
        <v>0.28271794786396665</v>
      </c>
    </row>
    <row r="3" spans="1:3" x14ac:dyDescent="0.25">
      <c r="A3" t="s">
        <v>18</v>
      </c>
      <c r="B3">
        <v>0.28483771699267391</v>
      </c>
      <c r="C3">
        <v>0.17464751508559173</v>
      </c>
    </row>
    <row r="4" spans="1:3" x14ac:dyDescent="0.25">
      <c r="A4" t="s">
        <v>19</v>
      </c>
      <c r="B4">
        <v>0.51223102710605639</v>
      </c>
      <c r="C4">
        <v>0.44117571849232157</v>
      </c>
    </row>
    <row r="5" spans="1:3" x14ac:dyDescent="0.25">
      <c r="A5" t="s">
        <v>20</v>
      </c>
      <c r="B5">
        <v>0.42784937090249225</v>
      </c>
      <c r="C5">
        <v>0.33395979138274307</v>
      </c>
    </row>
    <row r="6" spans="1:3" x14ac:dyDescent="0.25">
      <c r="A6" t="s">
        <v>39</v>
      </c>
      <c r="B6">
        <v>0.16731095489419762</v>
      </c>
      <c r="C6">
        <v>4.4085134555335678E-2</v>
      </c>
    </row>
    <row r="7" spans="1:3" x14ac:dyDescent="0.25">
      <c r="A7" t="s">
        <v>22</v>
      </c>
      <c r="B7">
        <v>1</v>
      </c>
      <c r="C7">
        <v>1</v>
      </c>
    </row>
    <row r="8" spans="1:3" x14ac:dyDescent="0.25">
      <c r="A8" t="s">
        <v>23</v>
      </c>
      <c r="B8">
        <v>0.51150377562270277</v>
      </c>
      <c r="C8">
        <v>0.41584475725031056</v>
      </c>
    </row>
    <row r="9" spans="1:3" x14ac:dyDescent="0.25">
      <c r="A9" t="s">
        <v>24</v>
      </c>
      <c r="B9">
        <v>0.34223962607924741</v>
      </c>
      <c r="C9">
        <v>0.24330993354495375</v>
      </c>
    </row>
    <row r="10" spans="1:3" x14ac:dyDescent="0.25">
      <c r="A10" t="s">
        <v>25</v>
      </c>
      <c r="B10">
        <v>0.67555333150420571</v>
      </c>
      <c r="C10">
        <v>0.5909825758936591</v>
      </c>
    </row>
    <row r="11" spans="1:3" x14ac:dyDescent="0.25">
      <c r="A11" t="s">
        <v>38</v>
      </c>
      <c r="B11">
        <v>0.16283015466341977</v>
      </c>
      <c r="C11">
        <v>3.7287462085068765E-2</v>
      </c>
    </row>
    <row r="12" spans="1:3" x14ac:dyDescent="0.25">
      <c r="A12" t="s">
        <v>27</v>
      </c>
      <c r="B12">
        <v>0.46354419289731907</v>
      </c>
      <c r="C12">
        <v>0.38835717458296626</v>
      </c>
    </row>
    <row r="13" spans="1:3" x14ac:dyDescent="0.25">
      <c r="A13" t="s">
        <v>28</v>
      </c>
      <c r="B13">
        <v>0.14697068770930205</v>
      </c>
      <c r="C13">
        <v>2.4082366678509326E-2</v>
      </c>
    </row>
    <row r="14" spans="1:3" x14ac:dyDescent="0.25">
      <c r="A14" t="s">
        <v>29</v>
      </c>
      <c r="B14">
        <v>0.23700074099375401</v>
      </c>
      <c r="C14">
        <v>0.13758350273360989</v>
      </c>
    </row>
    <row r="15" spans="1:3" x14ac:dyDescent="0.25">
      <c r="A15" t="s">
        <v>30</v>
      </c>
      <c r="B15">
        <v>0.38477617709805939</v>
      </c>
      <c r="C15">
        <v>0.32520226286635912</v>
      </c>
    </row>
    <row r="16" spans="1:3" x14ac:dyDescent="0.25">
      <c r="A16" t="s">
        <v>31</v>
      </c>
      <c r="B16">
        <v>0.38525123191213972</v>
      </c>
      <c r="C16">
        <v>0.32858317397644959</v>
      </c>
    </row>
    <row r="17" spans="1:3" x14ac:dyDescent="0.25">
      <c r="A17" t="s">
        <v>32</v>
      </c>
      <c r="B17">
        <v>0.22970454161781695</v>
      </c>
      <c r="C17">
        <v>0.12791476713448022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FA98-ACB1-480E-88E7-CD281B783037}">
  <dimension ref="A1:M36"/>
  <sheetViews>
    <sheetView workbookViewId="0">
      <selection activeCell="G23" sqref="G23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17</v>
      </c>
      <c r="B2">
        <v>1031</v>
      </c>
      <c r="C2">
        <v>1064</v>
      </c>
      <c r="D2">
        <v>1166</v>
      </c>
      <c r="E2">
        <v>1116</v>
      </c>
      <c r="F2">
        <v>1237</v>
      </c>
      <c r="G2">
        <v>1113</v>
      </c>
      <c r="H2">
        <v>1145</v>
      </c>
      <c r="I2">
        <v>1182</v>
      </c>
      <c r="J2">
        <v>1120</v>
      </c>
      <c r="K2">
        <v>759137</v>
      </c>
      <c r="L2">
        <v>10174</v>
      </c>
      <c r="M2">
        <f>(L2-H21)/(G22-G21)</f>
        <v>0.15139635452451197</v>
      </c>
    </row>
    <row r="3" spans="1:13" x14ac:dyDescent="0.25">
      <c r="A3" t="s">
        <v>18</v>
      </c>
      <c r="B3">
        <v>687</v>
      </c>
      <c r="C3">
        <v>660</v>
      </c>
      <c r="D3">
        <v>720</v>
      </c>
      <c r="E3">
        <v>704</v>
      </c>
      <c r="F3">
        <v>745</v>
      </c>
      <c r="G3">
        <v>672</v>
      </c>
      <c r="H3">
        <v>728</v>
      </c>
      <c r="I3">
        <v>733</v>
      </c>
      <c r="J3">
        <v>708</v>
      </c>
      <c r="K3">
        <v>432205</v>
      </c>
      <c r="L3">
        <v>6357</v>
      </c>
    </row>
    <row r="4" spans="1:13" x14ac:dyDescent="0.25">
      <c r="A4" t="s">
        <v>19</v>
      </c>
      <c r="B4">
        <v>1230</v>
      </c>
      <c r="C4">
        <v>1127</v>
      </c>
      <c r="D4">
        <v>1280</v>
      </c>
      <c r="E4">
        <v>1193</v>
      </c>
      <c r="F4">
        <v>1334</v>
      </c>
      <c r="G4">
        <v>1302</v>
      </c>
      <c r="H4">
        <v>1326</v>
      </c>
      <c r="I4">
        <v>1429</v>
      </c>
      <c r="J4">
        <v>1229</v>
      </c>
      <c r="K4">
        <v>434153</v>
      </c>
      <c r="L4">
        <v>11450</v>
      </c>
    </row>
    <row r="5" spans="1:13" x14ac:dyDescent="0.25">
      <c r="A5" t="s">
        <v>20</v>
      </c>
      <c r="B5">
        <v>1133</v>
      </c>
      <c r="C5">
        <v>1151</v>
      </c>
      <c r="D5">
        <v>1324</v>
      </c>
      <c r="E5">
        <v>1233</v>
      </c>
      <c r="F5">
        <v>1175</v>
      </c>
      <c r="G5">
        <v>1058</v>
      </c>
      <c r="H5">
        <v>1202</v>
      </c>
      <c r="I5">
        <v>1222</v>
      </c>
      <c r="J5">
        <v>1161</v>
      </c>
      <c r="K5">
        <v>614447</v>
      </c>
      <c r="L5">
        <v>10659</v>
      </c>
    </row>
    <row r="6" spans="1:13" x14ac:dyDescent="0.25">
      <c r="A6" t="s">
        <v>21</v>
      </c>
      <c r="B6">
        <v>315</v>
      </c>
      <c r="C6">
        <v>274</v>
      </c>
      <c r="D6">
        <v>350</v>
      </c>
      <c r="E6">
        <v>308</v>
      </c>
      <c r="F6">
        <v>333</v>
      </c>
      <c r="G6">
        <v>274</v>
      </c>
      <c r="H6">
        <v>331</v>
      </c>
      <c r="I6">
        <v>322</v>
      </c>
      <c r="J6">
        <v>267</v>
      </c>
      <c r="K6">
        <v>217686</v>
      </c>
      <c r="L6">
        <v>2774</v>
      </c>
    </row>
    <row r="7" spans="1:13" x14ac:dyDescent="0.25">
      <c r="A7" t="s">
        <v>22</v>
      </c>
      <c r="B7">
        <v>2525</v>
      </c>
      <c r="C7">
        <v>2297</v>
      </c>
      <c r="D7">
        <v>2817</v>
      </c>
      <c r="E7">
        <v>2691</v>
      </c>
      <c r="F7">
        <v>2894</v>
      </c>
      <c r="G7">
        <v>2646</v>
      </c>
      <c r="H7">
        <v>2780</v>
      </c>
      <c r="I7">
        <v>2821</v>
      </c>
      <c r="J7">
        <v>2608</v>
      </c>
      <c r="K7">
        <v>545884</v>
      </c>
      <c r="L7">
        <v>24079</v>
      </c>
    </row>
    <row r="8" spans="1:13" x14ac:dyDescent="0.25">
      <c r="A8" t="s">
        <v>23</v>
      </c>
      <c r="B8">
        <v>1486</v>
      </c>
      <c r="C8">
        <v>1507</v>
      </c>
      <c r="D8">
        <v>1763</v>
      </c>
      <c r="E8">
        <v>1659</v>
      </c>
      <c r="F8">
        <v>1730</v>
      </c>
      <c r="G8">
        <v>1634</v>
      </c>
      <c r="H8">
        <v>1656</v>
      </c>
      <c r="I8">
        <v>1645</v>
      </c>
      <c r="J8">
        <v>1590</v>
      </c>
      <c r="K8">
        <v>1173351</v>
      </c>
      <c r="L8">
        <v>14670</v>
      </c>
    </row>
    <row r="9" spans="1:13" x14ac:dyDescent="0.25">
      <c r="A9" t="s">
        <v>24</v>
      </c>
      <c r="B9">
        <v>753</v>
      </c>
      <c r="C9">
        <v>762</v>
      </c>
      <c r="D9">
        <v>907</v>
      </c>
      <c r="E9">
        <v>927</v>
      </c>
      <c r="F9">
        <v>854</v>
      </c>
      <c r="G9">
        <v>753</v>
      </c>
      <c r="H9">
        <v>789</v>
      </c>
      <c r="I9">
        <v>878</v>
      </c>
      <c r="J9">
        <v>837</v>
      </c>
      <c r="K9">
        <v>404695</v>
      </c>
      <c r="L9">
        <v>7460</v>
      </c>
    </row>
    <row r="10" spans="1:13" x14ac:dyDescent="0.25">
      <c r="A10" t="s">
        <v>25</v>
      </c>
      <c r="B10">
        <v>2313</v>
      </c>
      <c r="C10">
        <v>2134</v>
      </c>
      <c r="D10">
        <v>2440</v>
      </c>
      <c r="E10">
        <v>2288</v>
      </c>
      <c r="F10">
        <v>2362</v>
      </c>
      <c r="G10">
        <v>2088</v>
      </c>
      <c r="H10">
        <v>2293</v>
      </c>
      <c r="I10">
        <v>2388</v>
      </c>
      <c r="J10">
        <v>2305</v>
      </c>
      <c r="K10">
        <v>1835486</v>
      </c>
      <c r="L10">
        <v>20611</v>
      </c>
    </row>
    <row r="11" spans="1:13" x14ac:dyDescent="0.25">
      <c r="A11" t="s">
        <v>26</v>
      </c>
      <c r="B11">
        <v>297</v>
      </c>
      <c r="C11">
        <v>273</v>
      </c>
      <c r="D11">
        <v>333</v>
      </c>
      <c r="E11">
        <v>328</v>
      </c>
      <c r="F11">
        <v>329</v>
      </c>
      <c r="G11">
        <v>314</v>
      </c>
      <c r="H11">
        <v>353</v>
      </c>
      <c r="I11">
        <v>351</v>
      </c>
      <c r="J11">
        <v>300</v>
      </c>
      <c r="K11">
        <v>247256</v>
      </c>
      <c r="L11">
        <v>2878</v>
      </c>
    </row>
    <row r="12" spans="1:13" x14ac:dyDescent="0.25">
      <c r="A12" t="s">
        <v>27</v>
      </c>
      <c r="B12">
        <v>956</v>
      </c>
      <c r="C12">
        <v>955</v>
      </c>
      <c r="D12">
        <v>1127</v>
      </c>
      <c r="E12">
        <v>1120</v>
      </c>
      <c r="F12">
        <v>1173</v>
      </c>
      <c r="G12">
        <v>1168</v>
      </c>
      <c r="H12">
        <v>1134</v>
      </c>
      <c r="I12">
        <v>1139</v>
      </c>
      <c r="J12">
        <v>1026</v>
      </c>
      <c r="K12">
        <v>372889</v>
      </c>
      <c r="L12">
        <v>9798</v>
      </c>
    </row>
    <row r="13" spans="1:13" x14ac:dyDescent="0.25">
      <c r="A13" t="s">
        <v>28</v>
      </c>
      <c r="B13">
        <v>129</v>
      </c>
      <c r="C13">
        <v>189</v>
      </c>
      <c r="D13">
        <v>224</v>
      </c>
      <c r="E13">
        <v>221</v>
      </c>
      <c r="F13">
        <v>213</v>
      </c>
      <c r="G13">
        <v>210</v>
      </c>
      <c r="H13">
        <v>203</v>
      </c>
      <c r="I13">
        <v>217</v>
      </c>
      <c r="J13">
        <v>205</v>
      </c>
      <c r="K13">
        <v>130582</v>
      </c>
      <c r="L13">
        <v>1811</v>
      </c>
    </row>
    <row r="14" spans="1:13" x14ac:dyDescent="0.25">
      <c r="A14" t="s">
        <v>29</v>
      </c>
      <c r="B14">
        <v>532</v>
      </c>
      <c r="C14">
        <v>545</v>
      </c>
      <c r="D14">
        <v>662</v>
      </c>
      <c r="E14">
        <v>552</v>
      </c>
      <c r="F14">
        <v>621</v>
      </c>
      <c r="G14">
        <v>553</v>
      </c>
      <c r="H14">
        <v>579</v>
      </c>
      <c r="I14">
        <v>554</v>
      </c>
      <c r="J14">
        <v>509</v>
      </c>
      <c r="K14">
        <v>392313</v>
      </c>
      <c r="L14">
        <v>5107</v>
      </c>
    </row>
    <row r="15" spans="1:13" x14ac:dyDescent="0.25">
      <c r="A15" t="s">
        <v>30</v>
      </c>
      <c r="B15">
        <v>1094</v>
      </c>
      <c r="C15">
        <v>1020</v>
      </c>
      <c r="D15">
        <v>1177</v>
      </c>
      <c r="E15">
        <v>1059</v>
      </c>
      <c r="F15">
        <v>1214</v>
      </c>
      <c r="G15">
        <v>1001</v>
      </c>
      <c r="H15">
        <v>1188</v>
      </c>
      <c r="I15">
        <v>1065</v>
      </c>
      <c r="J15">
        <v>1102</v>
      </c>
      <c r="K15">
        <v>699928</v>
      </c>
      <c r="L15">
        <v>9920</v>
      </c>
    </row>
    <row r="16" spans="1:13" x14ac:dyDescent="0.25">
      <c r="A16" t="s">
        <v>31</v>
      </c>
      <c r="B16">
        <v>938</v>
      </c>
      <c r="C16">
        <v>972</v>
      </c>
      <c r="D16">
        <v>1059</v>
      </c>
      <c r="E16">
        <v>989</v>
      </c>
      <c r="F16">
        <v>974</v>
      </c>
      <c r="G16">
        <v>894</v>
      </c>
      <c r="H16">
        <v>967</v>
      </c>
      <c r="I16">
        <v>958</v>
      </c>
      <c r="J16">
        <v>926</v>
      </c>
      <c r="K16">
        <v>443704</v>
      </c>
      <c r="L16">
        <v>8677</v>
      </c>
    </row>
    <row r="17" spans="1:12" x14ac:dyDescent="0.25">
      <c r="A17" t="s">
        <v>32</v>
      </c>
      <c r="B17">
        <v>554</v>
      </c>
      <c r="C17">
        <v>511</v>
      </c>
      <c r="D17">
        <v>591</v>
      </c>
      <c r="E17">
        <v>615</v>
      </c>
      <c r="F17">
        <v>594</v>
      </c>
      <c r="G17">
        <v>531</v>
      </c>
      <c r="H17">
        <v>613</v>
      </c>
      <c r="I17">
        <v>509</v>
      </c>
      <c r="J17">
        <v>535</v>
      </c>
      <c r="K17">
        <v>415007</v>
      </c>
      <c r="L17">
        <v>5053</v>
      </c>
    </row>
    <row r="21" spans="1:12" x14ac:dyDescent="0.25">
      <c r="F21">
        <v>1811</v>
      </c>
      <c r="G21">
        <f>_xlfn.QUARTILE.EXC(F21:F36,1)</f>
        <v>5066.5</v>
      </c>
      <c r="H21">
        <f>MEDIAN(F21:F36)</f>
        <v>9237.5</v>
      </c>
    </row>
    <row r="22" spans="1:12" x14ac:dyDescent="0.25">
      <c r="F22">
        <v>2774</v>
      </c>
      <c r="G22">
        <f>_xlfn.QUARTILE.EXC(F21:F36,3)</f>
        <v>11252.25</v>
      </c>
    </row>
    <row r="23" spans="1:12" x14ac:dyDescent="0.25">
      <c r="F23">
        <v>2878</v>
      </c>
    </row>
    <row r="24" spans="1:12" x14ac:dyDescent="0.25">
      <c r="F24">
        <v>5053</v>
      </c>
      <c r="G24">
        <f>_xlfn.QUARTILE.INC(L2:L17,1)</f>
        <v>5093.5</v>
      </c>
    </row>
    <row r="25" spans="1:12" x14ac:dyDescent="0.25">
      <c r="F25">
        <v>5107</v>
      </c>
    </row>
    <row r="26" spans="1:12" x14ac:dyDescent="0.25">
      <c r="F26">
        <v>6357</v>
      </c>
    </row>
    <row r="27" spans="1:12" x14ac:dyDescent="0.25">
      <c r="F27">
        <v>7460</v>
      </c>
    </row>
    <row r="28" spans="1:12" x14ac:dyDescent="0.25">
      <c r="F28">
        <v>8677</v>
      </c>
    </row>
    <row r="29" spans="1:12" x14ac:dyDescent="0.25">
      <c r="F29">
        <v>9798</v>
      </c>
    </row>
    <row r="30" spans="1:12" x14ac:dyDescent="0.25">
      <c r="F30">
        <v>9920</v>
      </c>
    </row>
    <row r="31" spans="1:12" x14ac:dyDescent="0.25">
      <c r="F31">
        <v>10174</v>
      </c>
    </row>
    <row r="32" spans="1:12" x14ac:dyDescent="0.25">
      <c r="F32">
        <v>10659</v>
      </c>
    </row>
    <row r="33" spans="6:6" x14ac:dyDescent="0.25">
      <c r="F33">
        <v>11450</v>
      </c>
    </row>
    <row r="34" spans="6:6" x14ac:dyDescent="0.25">
      <c r="F34">
        <v>14670</v>
      </c>
    </row>
    <row r="35" spans="6:6" x14ac:dyDescent="0.25">
      <c r="F35">
        <v>20611</v>
      </c>
    </row>
    <row r="36" spans="6:6" x14ac:dyDescent="0.25">
      <c r="F36">
        <v>24079</v>
      </c>
    </row>
  </sheetData>
  <sortState xmlns:xlrd2="http://schemas.microsoft.com/office/spreadsheetml/2017/richdata2" ref="F21:F37">
    <sortCondition ref="F21:F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6070-421D-4146-9D84-2533B140621C}">
  <dimension ref="A1:B17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35</v>
      </c>
      <c r="B1" t="s">
        <v>40</v>
      </c>
    </row>
    <row r="2" spans="1:2" x14ac:dyDescent="0.25">
      <c r="A2" s="6" t="s">
        <v>18</v>
      </c>
      <c r="B2">
        <v>2511642.2590000001</v>
      </c>
    </row>
    <row r="3" spans="1:2" x14ac:dyDescent="0.25">
      <c r="A3" s="6" t="s">
        <v>20</v>
      </c>
      <c r="B3">
        <v>3119989.736</v>
      </c>
    </row>
    <row r="4" spans="1:2" x14ac:dyDescent="0.25">
      <c r="A4" s="6" t="s">
        <v>39</v>
      </c>
      <c r="B4">
        <v>5126762.6390000004</v>
      </c>
    </row>
    <row r="5" spans="1:2" x14ac:dyDescent="0.25">
      <c r="A5" s="6" t="s">
        <v>23</v>
      </c>
      <c r="B5">
        <v>2035396.7879999999</v>
      </c>
    </row>
    <row r="6" spans="1:2" x14ac:dyDescent="0.25">
      <c r="A6" s="6" t="s">
        <v>24</v>
      </c>
      <c r="B6">
        <v>2139550.5989999999</v>
      </c>
    </row>
    <row r="7" spans="1:2" x14ac:dyDescent="0.25">
      <c r="A7" s="6" t="s">
        <v>25</v>
      </c>
      <c r="B7">
        <v>1478403.11</v>
      </c>
    </row>
    <row r="8" spans="1:2" x14ac:dyDescent="0.25">
      <c r="A8" s="6" t="s">
        <v>38</v>
      </c>
      <c r="B8">
        <v>5142896.1529999999</v>
      </c>
    </row>
    <row r="9" spans="1:2" x14ac:dyDescent="0.25">
      <c r="A9" s="6" t="s">
        <v>28</v>
      </c>
      <c r="B9">
        <v>1255000</v>
      </c>
    </row>
    <row r="10" spans="1:2" x14ac:dyDescent="0.25">
      <c r="A10" s="6" t="s">
        <v>17</v>
      </c>
      <c r="B10">
        <v>3904214.07</v>
      </c>
    </row>
    <row r="11" spans="1:2" x14ac:dyDescent="0.25">
      <c r="A11" s="6" t="s">
        <v>29</v>
      </c>
      <c r="B11">
        <v>1341563.821</v>
      </c>
    </row>
    <row r="12" spans="1:2" x14ac:dyDescent="0.25">
      <c r="A12" s="6" t="s">
        <v>30</v>
      </c>
      <c r="B12">
        <v>3122949.142</v>
      </c>
    </row>
    <row r="13" spans="1:2" x14ac:dyDescent="0.25">
      <c r="A13" s="6" t="s">
        <v>32</v>
      </c>
      <c r="B13">
        <v>2962480.625</v>
      </c>
    </row>
    <row r="14" spans="1:2" x14ac:dyDescent="0.25">
      <c r="A14" s="6" t="s">
        <v>19</v>
      </c>
      <c r="B14">
        <v>4029427.3960000002</v>
      </c>
    </row>
    <row r="15" spans="1:2" x14ac:dyDescent="0.25">
      <c r="A15" s="6" t="s">
        <v>22</v>
      </c>
      <c r="B15">
        <v>2766140.0350000001</v>
      </c>
    </row>
    <row r="16" spans="1:2" x14ac:dyDescent="0.25">
      <c r="A16" s="6" t="s">
        <v>27</v>
      </c>
      <c r="B16">
        <v>3543286.0320000001</v>
      </c>
    </row>
    <row r="17" spans="1:2" x14ac:dyDescent="0.25">
      <c r="A17" s="6" t="s">
        <v>31</v>
      </c>
      <c r="B17">
        <v>1981917.352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Data</vt:lpstr>
      <vt:lpstr>Hoja1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MERA LOPEZ</dc:creator>
  <cp:lastModifiedBy>Jose Manuel Mera Lopez</cp:lastModifiedBy>
  <dcterms:created xsi:type="dcterms:W3CDTF">2025-11-18T03:12:52Z</dcterms:created>
  <dcterms:modified xsi:type="dcterms:W3CDTF">2025-11-20T02:09:24Z</dcterms:modified>
</cp:coreProperties>
</file>